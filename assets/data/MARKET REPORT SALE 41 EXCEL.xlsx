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brok-my.sharepoint.com/personal/morris_combrok_co_ke/Documents/Desktop/BOARD 2025/"/>
    </mc:Choice>
  </mc:AlternateContent>
  <xr:revisionPtr revIDLastSave="0" documentId="8_{62D26D68-39B2-4C69-9201-AA9FBD272279}" xr6:coauthVersionLast="47" xr6:coauthVersionMax="47" xr10:uidLastSave="{00000000-0000-0000-0000-000000000000}"/>
  <bookViews>
    <workbookView xWindow="-110" yWindow="-110" windowWidth="19420" windowHeight="10300" xr2:uid="{B3F09BED-BCA7-4259-AA3C-F9C28584FD6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F81" i="1"/>
  <c r="E81" i="1"/>
  <c r="D81" i="1"/>
  <c r="H81" i="1" s="1"/>
  <c r="C81" i="1"/>
  <c r="H79" i="1"/>
  <c r="H78" i="1"/>
  <c r="H77" i="1"/>
  <c r="H76" i="1"/>
  <c r="H75" i="1"/>
  <c r="H74" i="1"/>
  <c r="H73" i="1"/>
  <c r="H72" i="1"/>
  <c r="H71" i="1"/>
  <c r="L15" i="1"/>
  <c r="L14" i="1" s="1"/>
  <c r="K15" i="1"/>
  <c r="K14" i="1" s="1"/>
  <c r="J15" i="1"/>
  <c r="J14" i="1" s="1"/>
  <c r="I15" i="1"/>
  <c r="I14" i="1" s="1"/>
  <c r="H15" i="1"/>
  <c r="H14" i="1" s="1"/>
  <c r="G15" i="1"/>
  <c r="G14" i="1" s="1"/>
  <c r="F15" i="1"/>
  <c r="F14" i="1" s="1"/>
  <c r="E15" i="1"/>
  <c r="E14" i="1" s="1"/>
  <c r="D15" i="1"/>
  <c r="D14" i="1" s="1"/>
  <c r="C15" i="1"/>
  <c r="C14" i="1" s="1"/>
</calcChain>
</file>

<file path=xl/sharedStrings.xml><?xml version="1.0" encoding="utf-8"?>
<sst xmlns="http://schemas.openxmlformats.org/spreadsheetml/2006/main" count="82" uniqueCount="58">
  <si>
    <t>LITERATURE - ATTACHED ON WORD DOCUMENT</t>
  </si>
  <si>
    <t>HIGHEST PRICES BY MARK AND COUNTRY IN THIS AUCTION</t>
  </si>
  <si>
    <t>PRICES (USC)</t>
  </si>
  <si>
    <t>MARK</t>
  </si>
  <si>
    <t>COUNTRY</t>
  </si>
  <si>
    <t>Gatare</t>
  </si>
  <si>
    <t>Rwanda</t>
  </si>
  <si>
    <t>Grade</t>
  </si>
  <si>
    <t>BP1</t>
  </si>
  <si>
    <t>PF1</t>
  </si>
  <si>
    <t>Mununga</t>
  </si>
  <si>
    <t>Kenya</t>
  </si>
  <si>
    <t>PD</t>
  </si>
  <si>
    <t>Gacharage</t>
  </si>
  <si>
    <t>DUST1</t>
  </si>
  <si>
    <t>Gathuthi</t>
  </si>
  <si>
    <t>Packages offered and sold in this Week's CTC auction</t>
  </si>
  <si>
    <t>Total</t>
  </si>
  <si>
    <t>BP</t>
  </si>
  <si>
    <t>PF</t>
  </si>
  <si>
    <t>DUST</t>
  </si>
  <si>
    <t>FNGS</t>
  </si>
  <si>
    <t>BMF</t>
  </si>
  <si>
    <t>Total Sold</t>
  </si>
  <si>
    <t>Withdrawn</t>
  </si>
  <si>
    <t>unsold</t>
  </si>
  <si>
    <t>% Unsold</t>
  </si>
  <si>
    <t>Grand Totals in Packages</t>
  </si>
  <si>
    <t>Grand Totals Sold in Kilos  current Sale 2025</t>
  </si>
  <si>
    <t>Kilos same Sale 2024</t>
  </si>
  <si>
    <t>Average prices by Country (2025 vis. 2024</t>
  </si>
  <si>
    <t>Comparative average Prices - sale 41/25</t>
  </si>
  <si>
    <t>GRADE</t>
  </si>
  <si>
    <t>EOR</t>
  </si>
  <si>
    <t>WOR</t>
  </si>
  <si>
    <t>KTDA</t>
  </si>
  <si>
    <t>PLANTATIONS</t>
  </si>
  <si>
    <t>KENYA</t>
  </si>
  <si>
    <t>UGANDA</t>
  </si>
  <si>
    <t>TZ</t>
  </si>
  <si>
    <t>RWANDA</t>
  </si>
  <si>
    <t>BURUNDI</t>
  </si>
  <si>
    <t>Grand Avgs</t>
  </si>
  <si>
    <t>Mombasa Auction - Auction Monthly Quantities &amp; Average prices (Historical)</t>
  </si>
  <si>
    <t xml:space="preserve">Offerings by Country in the upcoming sales </t>
  </si>
  <si>
    <t>Sale 42 2025
(Actual packages)</t>
  </si>
  <si>
    <t>Sale 43/ 2025</t>
  </si>
  <si>
    <t>Offer'%</t>
  </si>
  <si>
    <t>VARIANCE</t>
  </si>
  <si>
    <t>Pkgs</t>
  </si>
  <si>
    <t>Kgs</t>
  </si>
  <si>
    <t>TANZANIA</t>
  </si>
  <si>
    <t>ETHIOPIA</t>
  </si>
  <si>
    <t>MOZAMBIQUE</t>
  </si>
  <si>
    <t>MADAGASCAR</t>
  </si>
  <si>
    <t>MALAWI</t>
  </si>
  <si>
    <t>TOTALS:</t>
  </si>
  <si>
    <t>Weather Report - Check word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</si>
</sst>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1"/>
      <color rgb="FF0070C0"/>
      <name val="Times New Roman"/>
      <family val="1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1"/>
      <color theme="5" tint="-0.249977111117893"/>
      <name val="Times New Roman"/>
      <family val="1"/>
    </font>
    <font>
      <b/>
      <sz val="10"/>
      <color theme="5" tint="-0.499984740745262"/>
      <name val="Times New Roman"/>
      <family val="1"/>
    </font>
    <font>
      <b/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B0F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CCFF"/>
        <bgColor indexed="31"/>
      </patternFill>
    </fill>
    <fill>
      <patternFill patternType="solid">
        <fgColor rgb="FF66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8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5" xfId="0" applyFont="1" applyBorder="1"/>
    <xf numFmtId="37" fontId="7" fillId="0" borderId="6" xfId="2" applyNumberFormat="1" applyFont="1" applyBorder="1" applyAlignment="1">
      <alignment vertical="top"/>
    </xf>
    <xf numFmtId="37" fontId="7" fillId="0" borderId="6" xfId="2" applyNumberFormat="1" applyFont="1" applyBorder="1" applyAlignment="1">
      <alignment horizontal="right" vertical="top"/>
    </xf>
    <xf numFmtId="37" fontId="7" fillId="0" borderId="7" xfId="2" applyNumberFormat="1" applyFont="1" applyBorder="1" applyAlignment="1">
      <alignment horizontal="right" vertical="top"/>
    </xf>
    <xf numFmtId="37" fontId="7" fillId="0" borderId="8" xfId="2" applyNumberFormat="1" applyFont="1" applyBorder="1" applyAlignment="1">
      <alignment horizontal="right" vertical="top"/>
    </xf>
    <xf numFmtId="0" fontId="6" fillId="0" borderId="9" xfId="0" applyFont="1" applyBorder="1"/>
    <xf numFmtId="37" fontId="7" fillId="0" borderId="10" xfId="2" applyNumberFormat="1" applyFont="1" applyBorder="1" applyAlignment="1">
      <alignment vertical="top"/>
    </xf>
    <xf numFmtId="37" fontId="7" fillId="0" borderId="10" xfId="2" applyNumberFormat="1" applyFont="1" applyBorder="1" applyAlignment="1">
      <alignment horizontal="right" vertical="top"/>
    </xf>
    <xf numFmtId="37" fontId="7" fillId="0" borderId="11" xfId="2" applyNumberFormat="1" applyFont="1" applyBorder="1" applyAlignment="1">
      <alignment horizontal="right" vertical="top"/>
    </xf>
    <xf numFmtId="37" fontId="7" fillId="0" borderId="12" xfId="2" applyNumberFormat="1" applyFont="1" applyBorder="1" applyAlignment="1">
      <alignment horizontal="right" vertical="top"/>
    </xf>
    <xf numFmtId="37" fontId="7" fillId="0" borderId="13" xfId="2" applyNumberFormat="1" applyFont="1" applyBorder="1" applyAlignment="1">
      <alignment vertical="top"/>
    </xf>
    <xf numFmtId="37" fontId="7" fillId="0" borderId="13" xfId="2" applyNumberFormat="1" applyFont="1" applyBorder="1" applyAlignment="1">
      <alignment horizontal="right" vertical="top"/>
    </xf>
    <xf numFmtId="37" fontId="7" fillId="0" borderId="14" xfId="2" applyNumberFormat="1" applyFont="1" applyBorder="1" applyAlignment="1">
      <alignment horizontal="right" vertical="top"/>
    </xf>
    <xf numFmtId="37" fontId="7" fillId="0" borderId="15" xfId="2" applyNumberFormat="1" applyFont="1" applyBorder="1" applyAlignment="1">
      <alignment horizontal="right" vertical="top"/>
    </xf>
    <xf numFmtId="0" fontId="6" fillId="0" borderId="16" xfId="0" applyFont="1" applyBorder="1"/>
    <xf numFmtId="165" fontId="9" fillId="0" borderId="17" xfId="1" applyNumberFormat="1" applyFont="1" applyFill="1" applyBorder="1" applyAlignment="1"/>
    <xf numFmtId="165" fontId="9" fillId="0" borderId="18" xfId="1" applyNumberFormat="1" applyFont="1" applyFill="1" applyBorder="1" applyAlignment="1"/>
    <xf numFmtId="165" fontId="9" fillId="0" borderId="19" xfId="1" applyNumberFormat="1" applyFont="1" applyFill="1" applyBorder="1" applyAlignment="1"/>
    <xf numFmtId="0" fontId="10" fillId="0" borderId="20" xfId="0" applyFont="1" applyBorder="1" applyAlignment="1">
      <alignment wrapText="1"/>
    </xf>
    <xf numFmtId="166" fontId="11" fillId="0" borderId="20" xfId="1" applyNumberFormat="1" applyFont="1" applyBorder="1"/>
    <xf numFmtId="166" fontId="11" fillId="0" borderId="21" xfId="1" applyNumberFormat="1" applyFont="1" applyBorder="1"/>
    <xf numFmtId="43" fontId="11" fillId="0" borderId="20" xfId="1" applyFont="1" applyBorder="1" applyAlignment="1">
      <alignment horizontal="center" vertical="center"/>
    </xf>
    <xf numFmtId="0" fontId="12" fillId="0" borderId="0" xfId="0" applyFont="1"/>
    <xf numFmtId="43" fontId="11" fillId="0" borderId="0" xfId="1" applyFont="1" applyBorder="1"/>
    <xf numFmtId="0" fontId="13" fillId="0" borderId="20" xfId="0" applyFont="1" applyBorder="1" applyAlignment="1">
      <alignment horizontal="center" vertical="center" wrapText="1"/>
    </xf>
    <xf numFmtId="164" fontId="14" fillId="3" borderId="17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vertical="center"/>
    </xf>
    <xf numFmtId="0" fontId="15" fillId="0" borderId="26" xfId="0" applyFont="1" applyBorder="1" applyAlignment="1">
      <alignment horizontal="left" vertical="center"/>
    </xf>
    <xf numFmtId="1" fontId="15" fillId="0" borderId="27" xfId="0" applyNumberFormat="1" applyFont="1" applyBorder="1" applyAlignment="1">
      <alignment horizontal="center" vertical="center"/>
    </xf>
    <xf numFmtId="1" fontId="15" fillId="0" borderId="27" xfId="0" applyNumberFormat="1" applyFont="1" applyBorder="1" applyAlignment="1">
      <alignment horizontal="center" vertical="top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15" fillId="5" borderId="29" xfId="0" applyFont="1" applyFill="1" applyBorder="1" applyAlignment="1">
      <alignment horizontal="left" vertical="center"/>
    </xf>
    <xf numFmtId="1" fontId="15" fillId="5" borderId="30" xfId="0" applyNumberFormat="1" applyFont="1" applyFill="1" applyBorder="1" applyAlignment="1">
      <alignment horizontal="center" vertical="center"/>
    </xf>
    <xf numFmtId="1" fontId="15" fillId="5" borderId="30" xfId="0" applyNumberFormat="1" applyFont="1" applyFill="1" applyBorder="1" applyAlignment="1">
      <alignment horizontal="center" vertical="top"/>
    </xf>
    <xf numFmtId="0" fontId="6" fillId="5" borderId="30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left" vertical="center"/>
    </xf>
    <xf numFmtId="1" fontId="15" fillId="0" borderId="30" xfId="0" applyNumberFormat="1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top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1" fontId="15" fillId="4" borderId="23" xfId="0" applyNumberFormat="1" applyFont="1" applyFill="1" applyBorder="1" applyAlignment="1">
      <alignment horizontal="center" vertical="center"/>
    </xf>
    <xf numFmtId="1" fontId="15" fillId="4" borderId="24" xfId="0" applyNumberFormat="1" applyFont="1" applyFill="1" applyBorder="1" applyAlignment="1">
      <alignment horizontal="center" vertical="center"/>
    </xf>
    <xf numFmtId="1" fontId="6" fillId="4" borderId="24" xfId="0" applyNumberFormat="1" applyFont="1" applyFill="1" applyBorder="1" applyAlignment="1">
      <alignment horizontal="center" vertical="center"/>
    </xf>
    <xf numFmtId="1" fontId="6" fillId="4" borderId="25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164" fontId="14" fillId="3" borderId="0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wrapText="1"/>
    </xf>
    <xf numFmtId="0" fontId="6" fillId="3" borderId="35" xfId="0" quotePrefix="1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7" xfId="0" quotePrefix="1" applyFont="1" applyFill="1" applyBorder="1" applyAlignment="1">
      <alignment horizontal="right" wrapText="1"/>
    </xf>
    <xf numFmtId="0" fontId="6" fillId="3" borderId="20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right" wrapText="1"/>
    </xf>
    <xf numFmtId="0" fontId="6" fillId="6" borderId="21" xfId="0" applyFont="1" applyFill="1" applyBorder="1" applyAlignment="1">
      <alignment horizontal="right" wrapText="1"/>
    </xf>
    <xf numFmtId="0" fontId="6" fillId="0" borderId="35" xfId="0" applyFont="1" applyBorder="1" applyAlignment="1">
      <alignment horizontal="right" wrapText="1"/>
    </xf>
    <xf numFmtId="0" fontId="16" fillId="7" borderId="20" xfId="0" applyFont="1" applyFill="1" applyBorder="1" applyAlignment="1">
      <alignment horizontal="right" wrapText="1"/>
    </xf>
    <xf numFmtId="0" fontId="6" fillId="0" borderId="38" xfId="0" applyFont="1" applyBorder="1"/>
    <xf numFmtId="164" fontId="6" fillId="8" borderId="39" xfId="3" applyFont="1" applyFill="1" applyBorder="1"/>
    <xf numFmtId="164" fontId="6" fillId="8" borderId="40" xfId="3" applyFont="1" applyFill="1" applyBorder="1"/>
    <xf numFmtId="38" fontId="6" fillId="0" borderId="41" xfId="3" applyNumberFormat="1" applyFont="1" applyFill="1" applyBorder="1" applyAlignment="1">
      <alignment horizontal="center" vertical="center" wrapText="1"/>
    </xf>
    <xf numFmtId="3" fontId="16" fillId="7" borderId="38" xfId="3" applyNumberFormat="1" applyFont="1" applyFill="1" applyBorder="1" applyAlignment="1">
      <alignment horizontal="right" wrapText="1"/>
    </xf>
    <xf numFmtId="0" fontId="6" fillId="0" borderId="10" xfId="0" applyFont="1" applyBorder="1"/>
    <xf numFmtId="164" fontId="6" fillId="8" borderId="29" xfId="3" applyFont="1" applyFill="1" applyBorder="1"/>
    <xf numFmtId="164" fontId="6" fillId="8" borderId="12" xfId="3" applyFont="1" applyFill="1" applyBorder="1"/>
    <xf numFmtId="38" fontId="6" fillId="0" borderId="11" xfId="3" applyNumberFormat="1" applyFont="1" applyFill="1" applyBorder="1" applyAlignment="1">
      <alignment horizontal="center" vertical="center" wrapText="1"/>
    </xf>
    <xf numFmtId="38" fontId="6" fillId="0" borderId="10" xfId="3" applyNumberFormat="1" applyFont="1" applyFill="1" applyBorder="1" applyAlignment="1">
      <alignment horizontal="center" vertical="center" wrapText="1"/>
    </xf>
    <xf numFmtId="3" fontId="16" fillId="7" borderId="10" xfId="3" applyNumberFormat="1" applyFont="1" applyFill="1" applyBorder="1" applyAlignment="1">
      <alignment horizontal="right" wrapText="1"/>
    </xf>
    <xf numFmtId="164" fontId="6" fillId="8" borderId="42" xfId="3" applyFont="1" applyFill="1" applyBorder="1"/>
    <xf numFmtId="164" fontId="6" fillId="8" borderId="0" xfId="3" applyFont="1" applyFill="1" applyBorder="1"/>
    <xf numFmtId="3" fontId="16" fillId="7" borderId="38" xfId="0" applyNumberFormat="1" applyFont="1" applyFill="1" applyBorder="1" applyAlignment="1">
      <alignment horizontal="right" wrapText="1"/>
    </xf>
    <xf numFmtId="164" fontId="6" fillId="8" borderId="43" xfId="3" applyFont="1" applyFill="1" applyBorder="1"/>
    <xf numFmtId="0" fontId="6" fillId="0" borderId="44" xfId="0" applyFont="1" applyBorder="1"/>
    <xf numFmtId="164" fontId="6" fillId="8" borderId="32" xfId="3" applyFont="1" applyFill="1" applyBorder="1"/>
    <xf numFmtId="164" fontId="6" fillId="8" borderId="45" xfId="3" applyFont="1" applyFill="1" applyBorder="1"/>
    <xf numFmtId="38" fontId="6" fillId="0" borderId="46" xfId="3" applyNumberFormat="1" applyFont="1" applyFill="1" applyBorder="1" applyAlignment="1">
      <alignment horizontal="center" vertical="center" wrapText="1"/>
    </xf>
    <xf numFmtId="3" fontId="16" fillId="7" borderId="47" xfId="0" applyNumberFormat="1" applyFont="1" applyFill="1" applyBorder="1" applyAlignment="1">
      <alignment horizontal="right" wrapText="1"/>
    </xf>
    <xf numFmtId="0" fontId="6" fillId="0" borderId="20" xfId="0" applyFont="1" applyBorder="1"/>
    <xf numFmtId="164" fontId="6" fillId="8" borderId="22" xfId="0" applyNumberFormat="1" applyFont="1" applyFill="1" applyBorder="1" applyAlignment="1">
      <alignment vertical="center"/>
    </xf>
    <xf numFmtId="38" fontId="6" fillId="0" borderId="35" xfId="3" applyNumberFormat="1" applyFont="1" applyBorder="1" applyAlignment="1">
      <alignment horizontal="center" vertical="center" wrapText="1"/>
    </xf>
    <xf numFmtId="3" fontId="16" fillId="7" borderId="20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17" fillId="0" borderId="0" xfId="0" applyFont="1"/>
    <xf numFmtId="0" fontId="6" fillId="0" borderId="0" xfId="0" applyFont="1" applyFill="1" applyBorder="1"/>
  </cellXfs>
  <cellStyles count="4">
    <cellStyle name="Comma" xfId="1" builtinId="3"/>
    <cellStyle name="Comma 3" xfId="3" xr:uid="{4F25A128-3542-4C09-8698-72C3BA2C3661}"/>
    <cellStyle name="Normal" xfId="0" builtinId="0"/>
    <cellStyle name="Normal 11" xfId="2" xr:uid="{7DFAA643-CB80-43EA-A39E-5C9930BC2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Average Prices By Country 2024 Vs 2025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79753839467944E-2"/>
          <c:y val="0.118002156024916"/>
          <c:w val="0.78984753596072943"/>
          <c:h val="0.69779137850843065"/>
        </c:manualLayout>
      </c:layout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[1]CountryAvgs!$B$6:$B$10</c:f>
              <c:strCache>
                <c:ptCount val="5"/>
                <c:pt idx="0">
                  <c:v>KENYA</c:v>
                </c:pt>
                <c:pt idx="1">
                  <c:v>UGANDA</c:v>
                </c:pt>
                <c:pt idx="2">
                  <c:v>BURUNDI</c:v>
                </c:pt>
                <c:pt idx="3">
                  <c:v>TANZANIA</c:v>
                </c:pt>
                <c:pt idx="4">
                  <c:v>RWANDA</c:v>
                </c:pt>
              </c:strCache>
            </c:strRef>
          </c:cat>
          <c:val>
            <c:numRef>
              <c:f>[1]CountryAvgs!$E$6:$E$10</c:f>
              <c:numCache>
                <c:formatCode>General</c:formatCode>
                <c:ptCount val="5"/>
                <c:pt idx="0">
                  <c:v>227</c:v>
                </c:pt>
                <c:pt idx="1">
                  <c:v>105</c:v>
                </c:pt>
                <c:pt idx="2">
                  <c:v>193</c:v>
                </c:pt>
                <c:pt idx="3">
                  <c:v>129</c:v>
                </c:pt>
                <c:pt idx="4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8-48A1-8772-F72EA6BCA7C6}"/>
            </c:ext>
          </c:extLst>
        </c:ser>
        <c:ser>
          <c:idx val="1"/>
          <c:order val="1"/>
          <c:tx>
            <c:v>2025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[1]CountryAvgs!$B$6:$B$10</c:f>
              <c:strCache>
                <c:ptCount val="5"/>
                <c:pt idx="0">
                  <c:v>KENYA</c:v>
                </c:pt>
                <c:pt idx="1">
                  <c:v>UGANDA</c:v>
                </c:pt>
                <c:pt idx="2">
                  <c:v>BURUNDI</c:v>
                </c:pt>
                <c:pt idx="3">
                  <c:v>TANZANIA</c:v>
                </c:pt>
                <c:pt idx="4">
                  <c:v>RWANDA</c:v>
                </c:pt>
              </c:strCache>
            </c:strRef>
          </c:cat>
          <c:val>
            <c:numRef>
              <c:f>[1]CountryAvgs!$F$6:$F$10</c:f>
              <c:numCache>
                <c:formatCode>General</c:formatCode>
                <c:ptCount val="5"/>
                <c:pt idx="0">
                  <c:v>221</c:v>
                </c:pt>
                <c:pt idx="1">
                  <c:v>101</c:v>
                </c:pt>
                <c:pt idx="2">
                  <c:v>146</c:v>
                </c:pt>
                <c:pt idx="4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8-48A1-8772-F72EA6BCA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2849504"/>
        <c:axId val="1"/>
      </c:barChart>
      <c:catAx>
        <c:axId val="1682849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Country</a:t>
                </a:r>
              </a:p>
            </c:rich>
          </c:tx>
          <c:layout>
            <c:manualLayout>
              <c:xMode val="edge"/>
              <c:yMode val="edge"/>
              <c:x val="0.44780049671210453"/>
              <c:y val="0.892311092692360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Sale Average</a:t>
                </a:r>
              </a:p>
            </c:rich>
          </c:tx>
          <c:layout>
            <c:manualLayout>
              <c:xMode val="edge"/>
              <c:yMode val="edge"/>
              <c:x val="1.5625123472469169E-2"/>
              <c:y val="0.288805083575079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284950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9050">
          <a:solidFill>
            <a:schemeClr val="accent1"/>
          </a:solidFill>
        </a:ln>
        <a:effectLst/>
      </c:spPr>
    </c:plotArea>
    <c:legend>
      <c:legendPos val="r"/>
      <c:layout>
        <c:manualLayout>
          <c:xMode val="edge"/>
          <c:yMode val="edge"/>
          <c:x val="0.91619715553963177"/>
          <c:y val="0.24612736171759064"/>
          <c:w val="5.9882167028734098E-2"/>
          <c:h val="0.27273572514651939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tx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226395880843E-2"/>
          <c:y val="5.5861734264349032E-2"/>
          <c:w val="0.87558217517892234"/>
          <c:h val="0.79719070965185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[1]MthlyAvgPrice!$AF$41</c:f>
              <c:strCache>
                <c:ptCount val="1"/>
                <c:pt idx="0">
                  <c:v>Kgs</c:v>
                </c:pt>
              </c:strCache>
            </c:strRef>
          </c:tx>
          <c:spPr>
            <a:solidFill>
              <a:srgbClr val="558ED5"/>
            </a:solidFill>
            <a:ln cap="flat"/>
          </c:spPr>
          <c:invertIfNegative val="1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[1]MthlyAvgPrice!$AE$42:$AE$57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[1]MthlyAvgPrice!$AF$42:$AF$57</c:f>
              <c:numCache>
                <c:formatCode>General</c:formatCode>
                <c:ptCount val="13"/>
                <c:pt idx="0">
                  <c:v>363.6</c:v>
                </c:pt>
                <c:pt idx="1">
                  <c:v>375.1</c:v>
                </c:pt>
                <c:pt idx="2">
                  <c:v>343.8</c:v>
                </c:pt>
                <c:pt idx="3" formatCode="0.0">
                  <c:v>398</c:v>
                </c:pt>
                <c:pt idx="4" formatCode="0.0">
                  <c:v>388.4</c:v>
                </c:pt>
                <c:pt idx="5" formatCode="0.0">
                  <c:v>445.6</c:v>
                </c:pt>
                <c:pt idx="6" formatCode="0.0">
                  <c:v>439.4</c:v>
                </c:pt>
                <c:pt idx="7" formatCode="0.0">
                  <c:v>498.4</c:v>
                </c:pt>
                <c:pt idx="8" formatCode="0.0">
                  <c:v>488.3</c:v>
                </c:pt>
                <c:pt idx="9" formatCode="0.0">
                  <c:v>504</c:v>
                </c:pt>
                <c:pt idx="10" formatCode="0.0">
                  <c:v>473</c:v>
                </c:pt>
                <c:pt idx="11" formatCode="0.0">
                  <c:v>449.2</c:v>
                </c:pt>
                <c:pt idx="12" formatCode="0.0">
                  <c:v>354.4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ap="flat"/>
                </c14:spPr>
              </c14:invertSolidFillFmt>
            </c:ext>
            <c:ext xmlns:c16="http://schemas.microsoft.com/office/drawing/2014/chart" uri="{C3380CC4-5D6E-409C-BE32-E72D297353CC}">
              <c16:uniqueId val="{00000000-F98A-496D-A691-977E7B86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"/>
        <c:overlap val="16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[1]MthlyAvgPrice!$AG$41</c:f>
              <c:strCache>
                <c:ptCount val="1"/>
                <c:pt idx="0">
                  <c:v>USC</c:v>
                </c:pt>
              </c:strCache>
            </c:strRef>
          </c:tx>
          <c:spPr>
            <a:ln w="38100" cmpd="sng">
              <a:solidFill>
                <a:srgbClr val="FF0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FF0000"/>
              </a:solidFill>
            </c:spPr>
          </c:marker>
          <c:val>
            <c:numRef>
              <c:f>[1]MthlyAvgPrice!$AG$42:$AG$57</c:f>
              <c:numCache>
                <c:formatCode>General</c:formatCode>
                <c:ptCount val="13"/>
                <c:pt idx="0">
                  <c:v>241</c:v>
                </c:pt>
                <c:pt idx="1">
                  <c:v>203</c:v>
                </c:pt>
                <c:pt idx="2">
                  <c:v>273</c:v>
                </c:pt>
                <c:pt idx="3">
                  <c:v>229</c:v>
                </c:pt>
                <c:pt idx="4">
                  <c:v>281</c:v>
                </c:pt>
                <c:pt idx="5">
                  <c:v>243</c:v>
                </c:pt>
                <c:pt idx="6">
                  <c:v>205</c:v>
                </c:pt>
                <c:pt idx="7">
                  <c:v>193</c:v>
                </c:pt>
                <c:pt idx="8">
                  <c:v>198</c:v>
                </c:pt>
                <c:pt idx="9">
                  <c:v>234</c:v>
                </c:pt>
                <c:pt idx="10">
                  <c:v>210</c:v>
                </c:pt>
                <c:pt idx="11">
                  <c:v>208</c:v>
                </c:pt>
                <c:pt idx="12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A-496D-A691-977E7B866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114000"/>
        <c:axId val="1"/>
      </c:lineChart>
      <c:catAx>
        <c:axId val="1798114000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18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AVERAGE PRICE IN USC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9050">
            <a:solidFill>
              <a:schemeClr val="tx2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811400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 M / KGS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19050">
            <a:solidFill>
              <a:srgbClr val="036516"/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4397721917502063"/>
          <c:y val="0.92310558334533632"/>
          <c:w val="0.54860414255174128"/>
          <c:h val="6.2036665547401629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 w="19050">
      <a:solidFill>
        <a:schemeClr val="tx1">
          <a:lumMod val="65000"/>
          <a:lumOff val="3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12</xdr:col>
      <xdr:colOff>482816</xdr:colOff>
      <xdr:row>35</xdr:row>
      <xdr:rowOff>100416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DA1F3B87-BC5B-4CD4-AB65-14DDB64B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</xdr:row>
      <xdr:rowOff>0</xdr:rowOff>
    </xdr:from>
    <xdr:to>
      <xdr:col>15</xdr:col>
      <xdr:colOff>447634</xdr:colOff>
      <xdr:row>65</xdr:row>
      <xdr:rowOff>181264</xdr:rowOff>
    </xdr:to>
    <xdr:graphicFrame macro="">
      <xdr:nvGraphicFramePr>
        <xdr:cNvPr id="5" name="Chart 12">
          <a:extLst>
            <a:ext uri="{FF2B5EF4-FFF2-40B4-BE49-F238E27FC236}">
              <a16:creationId xmlns:a16="http://schemas.microsoft.com/office/drawing/2014/main" id="{40366322-79C8-40E7-AFF1-C048A0E33A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0.20987</cdr:x>
      <cdr:y>0.76766</cdr:y>
    </cdr:from>
    <cdr:to>
      <cdr:x>0.2791</cdr:x>
      <cdr:y>0.85722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85951" y="2109788"/>
          <a:ext cx="619124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0.14523</cdr:x>
      <cdr:y>0.84982</cdr:y>
    </cdr:from>
    <cdr:to>
      <cdr:x>0.20849</cdr:x>
      <cdr:y>0.94364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88843" y="2250837"/>
          <a:ext cx="556656" cy="2440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2014</a:t>
          </a:r>
        </a:p>
      </cdr:txBody>
    </cdr:sp>
  </cdr:relSizeAnchor>
  <cdr:relSizeAnchor xmlns:cdr="http://schemas.openxmlformats.org/drawingml/2006/chartDrawing">
    <cdr:from>
      <cdr:x>0.28185</cdr:x>
      <cdr:y>0.85901</cdr:y>
    </cdr:from>
    <cdr:to>
      <cdr:x>0.34159</cdr:x>
      <cdr:y>0.95117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2488746" y="2275111"/>
          <a:ext cx="525730" cy="2390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2016</a:t>
          </a:r>
        </a:p>
      </cdr:txBody>
    </cdr:sp>
  </cdr:relSizeAnchor>
  <cdr:relSizeAnchor xmlns:cdr="http://schemas.openxmlformats.org/drawingml/2006/chartDrawing">
    <cdr:from>
      <cdr:x>0.21226</cdr:x>
      <cdr:y>0.84749</cdr:y>
    </cdr:from>
    <cdr:to>
      <cdr:x>0.27552</cdr:x>
      <cdr:y>0.94999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1876465" y="2136199"/>
          <a:ext cx="556649" cy="2527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2015</a:t>
          </a:r>
        </a:p>
      </cdr:txBody>
    </cdr:sp>
  </cdr:relSizeAnchor>
  <cdr:relSizeAnchor xmlns:cdr="http://schemas.openxmlformats.org/drawingml/2006/chartDrawing">
    <cdr:from>
      <cdr:x>0.41776</cdr:x>
      <cdr:y>0.84754</cdr:y>
    </cdr:from>
    <cdr:to>
      <cdr:x>0.47329</cdr:x>
      <cdr:y>0.93639</cdr:y>
    </cdr:to>
    <cdr:sp macro="" textlink="">
      <cdr:nvSpPr>
        <cdr:cNvPr id="6" name="TextBox 1"/>
        <cdr:cNvSpPr txBox="1"/>
      </cdr:nvSpPr>
      <cdr:spPr>
        <a:xfrm xmlns:a="http://schemas.openxmlformats.org/drawingml/2006/main">
          <a:off x="3682464" y="2245447"/>
          <a:ext cx="488620" cy="230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2018</a:t>
          </a:r>
        </a:p>
      </cdr:txBody>
    </cdr:sp>
  </cdr:relSizeAnchor>
  <cdr:relSizeAnchor xmlns:cdr="http://schemas.openxmlformats.org/drawingml/2006/chartDrawing">
    <cdr:from>
      <cdr:x>0.35565</cdr:x>
      <cdr:y>0.85186</cdr:y>
    </cdr:from>
    <cdr:to>
      <cdr:x>0.40721</cdr:x>
      <cdr:y>0.92357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138178" y="2256226"/>
          <a:ext cx="451509" cy="186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2017</a:t>
          </a:r>
        </a:p>
      </cdr:txBody>
    </cdr:sp>
  </cdr:relSizeAnchor>
  <cdr:relSizeAnchor xmlns:cdr="http://schemas.openxmlformats.org/drawingml/2006/chartDrawing">
    <cdr:from>
      <cdr:x>0.07089</cdr:x>
      <cdr:y>0.8539</cdr:y>
    </cdr:from>
    <cdr:to>
      <cdr:x>0.12937</cdr:x>
      <cdr:y>0.93898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634770" y="2594758"/>
          <a:ext cx="514662" cy="2535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2013</a:t>
          </a:r>
        </a:p>
      </cdr:txBody>
    </cdr:sp>
  </cdr:relSizeAnchor>
  <cdr:relSizeAnchor xmlns:cdr="http://schemas.openxmlformats.org/drawingml/2006/chartDrawing">
    <cdr:from>
      <cdr:x>0.5492</cdr:x>
      <cdr:y>0.84982</cdr:y>
    </cdr:from>
    <cdr:to>
      <cdr:x>0.61317</cdr:x>
      <cdr:y>0.93489</cdr:y>
    </cdr:to>
    <cdr:sp macro="" textlink="">
      <cdr:nvSpPr>
        <cdr:cNvPr id="11" name="TextBox 10"/>
        <cdr:cNvSpPr txBox="1"/>
      </cdr:nvSpPr>
      <cdr:spPr>
        <a:xfrm xmlns:a="http://schemas.openxmlformats.org/drawingml/2006/main">
          <a:off x="4839069" y="2250837"/>
          <a:ext cx="562841" cy="221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/>
            <a:t>2020</a:t>
          </a:r>
        </a:p>
      </cdr:txBody>
    </cdr:sp>
  </cdr:relSizeAnchor>
  <cdr:relSizeAnchor xmlns:cdr="http://schemas.openxmlformats.org/drawingml/2006/chartDrawing">
    <cdr:from>
      <cdr:x>0.48409</cdr:x>
      <cdr:y>0.8455</cdr:y>
    </cdr:from>
    <cdr:to>
      <cdr:x>0.53821</cdr:x>
      <cdr:y>0.94645</cdr:y>
    </cdr:to>
    <cdr:sp macro="" textlink="">
      <cdr:nvSpPr>
        <cdr:cNvPr id="12" name="TextBox 11"/>
        <cdr:cNvSpPr txBox="1"/>
      </cdr:nvSpPr>
      <cdr:spPr>
        <a:xfrm xmlns:a="http://schemas.openxmlformats.org/drawingml/2006/main">
          <a:off x="4266706" y="2570018"/>
          <a:ext cx="476249" cy="300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2019</a:t>
          </a:r>
        </a:p>
      </cdr:txBody>
    </cdr:sp>
  </cdr:relSizeAnchor>
  <cdr:relSizeAnchor xmlns:cdr="http://schemas.openxmlformats.org/drawingml/2006/chartDrawing">
    <cdr:from>
      <cdr:x>0.62367</cdr:x>
      <cdr:y>0.8469</cdr:y>
    </cdr:from>
    <cdr:to>
      <cdr:x>0.6785</cdr:x>
      <cdr:y>0.92652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500872" y="2056169"/>
          <a:ext cx="482434" cy="189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2021</a:t>
          </a:r>
        </a:p>
      </cdr:txBody>
    </cdr:sp>
  </cdr:relSizeAnchor>
  <cdr:relSizeAnchor xmlns:cdr="http://schemas.openxmlformats.org/drawingml/2006/chartDrawing">
    <cdr:from>
      <cdr:x>0.00583</cdr:x>
      <cdr:y>0.02013</cdr:y>
    </cdr:from>
    <cdr:to>
      <cdr:x>0.07891</cdr:x>
      <cdr:y>0.13993</cdr:y>
    </cdr:to>
    <cdr:sp macro="" textlink="">
      <cdr:nvSpPr>
        <cdr:cNvPr id="14" name="TextBox 1"/>
        <cdr:cNvSpPr txBox="1"/>
      </cdr:nvSpPr>
      <cdr:spPr>
        <a:xfrm xmlns:a="http://schemas.openxmlformats.org/drawingml/2006/main">
          <a:off x="50800" y="50800"/>
          <a:ext cx="647700" cy="292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0.68623</cdr:x>
      <cdr:y>0.84845</cdr:y>
    </cdr:from>
    <cdr:to>
      <cdr:x>0.74528</cdr:x>
      <cdr:y>0.95051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6051341" y="2060492"/>
          <a:ext cx="519547" cy="2425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r>
            <a:rPr lang="en-US" sz="1000" b="1">
              <a:latin typeface="Times New Roman" panose="02020603050405020304" pitchFamily="18" charset="0"/>
              <a:cs typeface="Times New Roman" panose="02020603050405020304" pitchFamily="18" charset="0"/>
            </a:rPr>
            <a:t>2022</a:t>
          </a:r>
        </a:p>
      </cdr:txBody>
    </cdr:sp>
  </cdr:relSizeAnchor>
  <cdr:relSizeAnchor xmlns:cdr="http://schemas.openxmlformats.org/drawingml/2006/chartDrawing">
    <cdr:from>
      <cdr:x>0.00583</cdr:x>
      <cdr:y>0.01706</cdr:y>
    </cdr:from>
    <cdr:to>
      <cdr:x>0.06689</cdr:x>
      <cdr:y>0.10653</cdr:y>
    </cdr:to>
    <cdr:sp macro="" textlink="">
      <cdr:nvSpPr>
        <cdr:cNvPr id="15" name="TextBox 1"/>
        <cdr:cNvSpPr txBox="1"/>
      </cdr:nvSpPr>
      <cdr:spPr>
        <a:xfrm xmlns:a="http://schemas.openxmlformats.org/drawingml/2006/main">
          <a:off x="50800" y="50800"/>
          <a:ext cx="542968" cy="244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0.82916</cdr:x>
      <cdr:y>0.84749</cdr:y>
    </cdr:from>
    <cdr:to>
      <cdr:x>0.88258</cdr:x>
      <cdr:y>0.93952</cdr:y>
    </cdr:to>
    <cdr:sp macro="" textlink="">
      <cdr:nvSpPr>
        <cdr:cNvPr id="16" name="TextBox 1"/>
        <cdr:cNvSpPr txBox="1"/>
      </cdr:nvSpPr>
      <cdr:spPr>
        <a:xfrm xmlns:a="http://schemas.openxmlformats.org/drawingml/2006/main">
          <a:off x="7306996" y="2136198"/>
          <a:ext cx="470062" cy="227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2024</a:t>
          </a:r>
        </a:p>
      </cdr:txBody>
    </cdr:sp>
  </cdr:relSizeAnchor>
  <cdr:relSizeAnchor xmlns:cdr="http://schemas.openxmlformats.org/drawingml/2006/chartDrawing">
    <cdr:from>
      <cdr:x>0.89997</cdr:x>
      <cdr:y>0.85123</cdr:y>
    </cdr:from>
    <cdr:to>
      <cdr:x>0.95314</cdr:x>
      <cdr:y>0.93084</cdr:y>
    </cdr:to>
    <cdr:sp macro="" textlink="">
      <cdr:nvSpPr>
        <cdr:cNvPr id="17" name="TextBox 1"/>
        <cdr:cNvSpPr txBox="1"/>
      </cdr:nvSpPr>
      <cdr:spPr>
        <a:xfrm xmlns:a="http://schemas.openxmlformats.org/drawingml/2006/main">
          <a:off x="7924388" y="2586677"/>
          <a:ext cx="470064" cy="236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="1" baseline="0">
              <a:latin typeface="Times New Roman" panose="02020603050405020304" pitchFamily="18" charset="0"/>
            </a:rPr>
            <a:t>2025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AppData\Local\Microsoft\Windows\INetCache\Content.Outlook\0YS8M0BM\ATTACHMENTS%20SALE%20%2041%202025.xls" TargetMode="External"/><Relationship Id="rId1" Type="http://schemas.openxmlformats.org/officeDocument/2006/relationships/externalLinkPath" Target="file:///C:\Users\Administrator\AppData\Local\Microsoft\Windows\INetCache\Content.Outlook\0YS8M0BM\ATTACHMENTS%20SALE%20%2041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kgs OfferedSold"/>
      <sheetName val="CountryAvgs"/>
      <sheetName val=" Outlots and Offers"/>
      <sheetName val="KilosSoldByCountry2"/>
      <sheetName val="Comparative AV. KTDA EST"/>
      <sheetName val="MthlyAvgPrice"/>
      <sheetName val="cumm hist av"/>
      <sheetName val="Hist Av by sale"/>
      <sheetName val="Offerings-Grade"/>
      <sheetName val="Offerings-Country"/>
      <sheetName val="Fresh and Reps"/>
      <sheetName val="REPRINTS BY PRODUCER"/>
      <sheetName val="Orthodox"/>
    </sheetNames>
    <sheetDataSet>
      <sheetData sheetId="0"/>
      <sheetData sheetId="1">
        <row r="6">
          <cell r="B6" t="str">
            <v>KENYA</v>
          </cell>
          <cell r="E6">
            <v>227</v>
          </cell>
          <cell r="F6">
            <v>221</v>
          </cell>
        </row>
        <row r="7">
          <cell r="B7" t="str">
            <v>UGANDA</v>
          </cell>
          <cell r="E7">
            <v>105</v>
          </cell>
          <cell r="F7">
            <v>101</v>
          </cell>
        </row>
        <row r="8">
          <cell r="B8" t="str">
            <v>BURUNDI</v>
          </cell>
          <cell r="E8">
            <v>193</v>
          </cell>
          <cell r="F8">
            <v>146</v>
          </cell>
        </row>
        <row r="9">
          <cell r="B9" t="str">
            <v>TANZANIA</v>
          </cell>
          <cell r="E9">
            <v>129</v>
          </cell>
        </row>
        <row r="10">
          <cell r="B10" t="str">
            <v>RWANDA</v>
          </cell>
          <cell r="E10">
            <v>334</v>
          </cell>
          <cell r="F10">
            <v>320</v>
          </cell>
        </row>
      </sheetData>
      <sheetData sheetId="2"/>
      <sheetData sheetId="3"/>
      <sheetData sheetId="4"/>
      <sheetData sheetId="5">
        <row r="41">
          <cell r="AF41" t="str">
            <v>Kgs</v>
          </cell>
          <cell r="AG41" t="str">
            <v>USC</v>
          </cell>
        </row>
        <row r="42">
          <cell r="AE42">
            <v>2010</v>
          </cell>
          <cell r="AF42">
            <v>330.6</v>
          </cell>
          <cell r="AG42">
            <v>255</v>
          </cell>
        </row>
        <row r="43">
          <cell r="AE43">
            <v>2011</v>
          </cell>
          <cell r="AF43">
            <v>314.5</v>
          </cell>
          <cell r="AG43">
            <v>272</v>
          </cell>
        </row>
        <row r="44">
          <cell r="AE44">
            <v>2012</v>
          </cell>
          <cell r="AF44">
            <v>304.39999999999998</v>
          </cell>
          <cell r="AG44">
            <v>288</v>
          </cell>
        </row>
        <row r="45">
          <cell r="AE45">
            <v>2013</v>
          </cell>
          <cell r="AF45">
            <v>363.6</v>
          </cell>
          <cell r="AG45">
            <v>241</v>
          </cell>
        </row>
        <row r="46">
          <cell r="AE46">
            <v>2014</v>
          </cell>
          <cell r="AF46">
            <v>375.1</v>
          </cell>
          <cell r="AG46">
            <v>203</v>
          </cell>
        </row>
        <row r="47">
          <cell r="AE47">
            <v>2015</v>
          </cell>
          <cell r="AF47">
            <v>343.8</v>
          </cell>
          <cell r="AG47">
            <v>273</v>
          </cell>
        </row>
        <row r="48">
          <cell r="AE48">
            <v>2016</v>
          </cell>
          <cell r="AF48">
            <v>398</v>
          </cell>
          <cell r="AG48">
            <v>229</v>
          </cell>
        </row>
        <row r="49">
          <cell r="AE49">
            <v>2017</v>
          </cell>
          <cell r="AF49">
            <v>388.4</v>
          </cell>
          <cell r="AG49">
            <v>281</v>
          </cell>
        </row>
        <row r="50">
          <cell r="AE50">
            <v>2018</v>
          </cell>
          <cell r="AF50">
            <v>445.6</v>
          </cell>
          <cell r="AG50">
            <v>243</v>
          </cell>
        </row>
        <row r="51">
          <cell r="AE51">
            <v>2019</v>
          </cell>
          <cell r="AF51">
            <v>439.4</v>
          </cell>
          <cell r="AG51">
            <v>205</v>
          </cell>
        </row>
        <row r="52">
          <cell r="AE52">
            <v>2020</v>
          </cell>
          <cell r="AF52">
            <v>498.4</v>
          </cell>
          <cell r="AG52">
            <v>193</v>
          </cell>
        </row>
        <row r="53">
          <cell r="AE53">
            <v>2021</v>
          </cell>
          <cell r="AF53">
            <v>488.3</v>
          </cell>
          <cell r="AG53">
            <v>198</v>
          </cell>
        </row>
        <row r="54">
          <cell r="AE54">
            <v>2022</v>
          </cell>
          <cell r="AF54">
            <v>504</v>
          </cell>
          <cell r="AG54">
            <v>234</v>
          </cell>
        </row>
        <row r="55">
          <cell r="AE55">
            <v>2023</v>
          </cell>
          <cell r="AF55">
            <v>473</v>
          </cell>
          <cell r="AG55">
            <v>210</v>
          </cell>
        </row>
        <row r="56">
          <cell r="AE56">
            <v>2024</v>
          </cell>
          <cell r="AF56">
            <v>449.2</v>
          </cell>
          <cell r="AG56">
            <v>208</v>
          </cell>
        </row>
        <row r="57">
          <cell r="AE57">
            <v>2025</v>
          </cell>
          <cell r="AF57">
            <v>354.4</v>
          </cell>
          <cell r="AG57">
            <v>203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E5A7-C239-4832-9CAA-D7C53F555112}">
  <dimension ref="A1:L83"/>
  <sheetViews>
    <sheetView tabSelected="1" topLeftCell="A68" workbookViewId="0">
      <selection activeCell="B85" sqref="B85"/>
    </sheetView>
  </sheetViews>
  <sheetFormatPr defaultRowHeight="14.5" x14ac:dyDescent="0.35"/>
  <cols>
    <col min="2" max="2" width="62.7265625" bestFit="1" customWidth="1"/>
    <col min="3" max="3" width="12" customWidth="1"/>
    <col min="4" max="4" width="12.7265625" bestFit="1" customWidth="1"/>
    <col min="5" max="5" width="11.1796875" bestFit="1" customWidth="1"/>
    <col min="6" max="6" width="12.7265625" bestFit="1" customWidth="1"/>
    <col min="8" max="8" width="9.453125" bestFit="1" customWidth="1"/>
    <col min="9" max="9" width="6.1796875" bestFit="1" customWidth="1"/>
  </cols>
  <sheetData>
    <row r="1" spans="1:12" x14ac:dyDescent="0.35">
      <c r="A1">
        <v>1</v>
      </c>
      <c r="B1" t="s">
        <v>0</v>
      </c>
    </row>
    <row r="2" spans="1:12" x14ac:dyDescent="0.35">
      <c r="A2">
        <v>2</v>
      </c>
      <c r="B2" t="s">
        <v>1</v>
      </c>
    </row>
    <row r="3" spans="1:12" x14ac:dyDescent="0.35">
      <c r="B3" s="1" t="s">
        <v>2</v>
      </c>
      <c r="C3" s="103" t="s">
        <v>7</v>
      </c>
      <c r="D3" s="103" t="s">
        <v>3</v>
      </c>
      <c r="E3" s="103" t="s">
        <v>4</v>
      </c>
    </row>
    <row r="4" spans="1:12" x14ac:dyDescent="0.35">
      <c r="B4" s="102">
        <v>405</v>
      </c>
      <c r="C4" s="102" t="s">
        <v>8</v>
      </c>
      <c r="D4" s="102" t="s">
        <v>5</v>
      </c>
      <c r="E4" s="102" t="s">
        <v>6</v>
      </c>
    </row>
    <row r="5" spans="1:12" x14ac:dyDescent="0.35">
      <c r="B5" s="102">
        <v>380</v>
      </c>
      <c r="C5" s="102" t="s">
        <v>9</v>
      </c>
      <c r="D5" s="102" t="s">
        <v>10</v>
      </c>
      <c r="E5" s="102" t="s">
        <v>11</v>
      </c>
    </row>
    <row r="6" spans="1:12" x14ac:dyDescent="0.35">
      <c r="B6" s="102">
        <v>364</v>
      </c>
      <c r="C6" s="102" t="s">
        <v>12</v>
      </c>
      <c r="D6" s="102" t="s">
        <v>13</v>
      </c>
      <c r="E6" s="102" t="s">
        <v>11</v>
      </c>
    </row>
    <row r="7" spans="1:12" x14ac:dyDescent="0.35">
      <c r="B7" s="102">
        <v>366</v>
      </c>
      <c r="C7" s="102" t="s">
        <v>14</v>
      </c>
      <c r="D7" s="102" t="s">
        <v>15</v>
      </c>
      <c r="E7" s="102" t="s">
        <v>11</v>
      </c>
    </row>
    <row r="9" spans="1:12" ht="15" thickBot="1" x14ac:dyDescent="0.4">
      <c r="A9">
        <v>3</v>
      </c>
      <c r="B9" t="s">
        <v>16</v>
      </c>
    </row>
    <row r="10" spans="1:12" ht="15" thickBot="1" x14ac:dyDescent="0.4">
      <c r="B10" s="2"/>
      <c r="C10" s="3" t="s">
        <v>17</v>
      </c>
      <c r="D10" s="3" t="s">
        <v>8</v>
      </c>
      <c r="E10" s="3" t="s">
        <v>9</v>
      </c>
      <c r="F10" s="3" t="s">
        <v>12</v>
      </c>
      <c r="G10" s="3" t="s">
        <v>14</v>
      </c>
      <c r="H10" s="4" t="s">
        <v>18</v>
      </c>
      <c r="I10" s="3" t="s">
        <v>19</v>
      </c>
      <c r="J10" s="5" t="s">
        <v>20</v>
      </c>
      <c r="K10" s="3" t="s">
        <v>21</v>
      </c>
      <c r="L10" s="5" t="s">
        <v>22</v>
      </c>
    </row>
    <row r="11" spans="1:12" x14ac:dyDescent="0.35">
      <c r="B11" s="6" t="s">
        <v>23</v>
      </c>
      <c r="C11" s="7">
        <v>86158</v>
      </c>
      <c r="D11" s="7">
        <v>10720</v>
      </c>
      <c r="E11" s="8">
        <v>30720</v>
      </c>
      <c r="F11" s="8">
        <v>25701</v>
      </c>
      <c r="G11" s="7">
        <v>6560</v>
      </c>
      <c r="H11" s="9">
        <v>1157</v>
      </c>
      <c r="I11" s="8">
        <v>1940</v>
      </c>
      <c r="J11" s="9">
        <v>2620</v>
      </c>
      <c r="K11" s="7">
        <v>3800</v>
      </c>
      <c r="L11" s="10">
        <v>2940</v>
      </c>
    </row>
    <row r="12" spans="1:12" x14ac:dyDescent="0.35">
      <c r="B12" s="11" t="s">
        <v>24</v>
      </c>
      <c r="C12" s="12">
        <v>440</v>
      </c>
      <c r="D12" s="12">
        <v>160</v>
      </c>
      <c r="E12" s="13">
        <v>40</v>
      </c>
      <c r="F12" s="13">
        <v>200</v>
      </c>
      <c r="G12" s="12">
        <v>0</v>
      </c>
      <c r="H12" s="14">
        <v>0</v>
      </c>
      <c r="I12" s="13">
        <v>40</v>
      </c>
      <c r="J12" s="14">
        <v>0</v>
      </c>
      <c r="K12" s="12">
        <v>0</v>
      </c>
      <c r="L12" s="15">
        <v>0</v>
      </c>
    </row>
    <row r="13" spans="1:12" ht="15" thickBot="1" x14ac:dyDescent="0.4">
      <c r="B13" s="11" t="s">
        <v>25</v>
      </c>
      <c r="C13" s="16">
        <v>19540</v>
      </c>
      <c r="D13" s="16">
        <v>5640</v>
      </c>
      <c r="E13" s="17">
        <v>6160</v>
      </c>
      <c r="F13" s="17">
        <v>4960</v>
      </c>
      <c r="G13" s="16">
        <v>2040</v>
      </c>
      <c r="H13" s="18">
        <v>0</v>
      </c>
      <c r="I13" s="17">
        <v>160</v>
      </c>
      <c r="J13" s="18">
        <v>360</v>
      </c>
      <c r="K13" s="16">
        <v>220</v>
      </c>
      <c r="L13" s="19">
        <v>0</v>
      </c>
    </row>
    <row r="14" spans="1:12" ht="15" thickBot="1" x14ac:dyDescent="0.4">
      <c r="B14" s="20" t="s">
        <v>26</v>
      </c>
      <c r="C14" s="21">
        <f>C13*100/C15</f>
        <v>18.486631724346722</v>
      </c>
      <c r="D14" s="21">
        <f t="shared" ref="D14:L14" si="0">D13*100/D15</f>
        <v>34.474327628361856</v>
      </c>
      <c r="E14" s="21">
        <f t="shared" si="0"/>
        <v>16.702819956616054</v>
      </c>
      <c r="F14" s="21">
        <f t="shared" si="0"/>
        <v>16.176902253677309</v>
      </c>
      <c r="G14" s="21">
        <f t="shared" si="0"/>
        <v>23.720930232558139</v>
      </c>
      <c r="H14" s="22">
        <f t="shared" si="0"/>
        <v>0</v>
      </c>
      <c r="I14" s="21">
        <f t="shared" si="0"/>
        <v>7.6190476190476186</v>
      </c>
      <c r="J14" s="23">
        <f t="shared" si="0"/>
        <v>12.080536912751677</v>
      </c>
      <c r="K14" s="21">
        <f t="shared" si="0"/>
        <v>5.4726368159203984</v>
      </c>
      <c r="L14" s="23">
        <f t="shared" si="0"/>
        <v>0</v>
      </c>
    </row>
    <row r="15" spans="1:12" ht="57" thickBot="1" x14ac:dyDescent="0.4">
      <c r="B15" s="24" t="s">
        <v>27</v>
      </c>
      <c r="C15" s="25">
        <f>C11+C13</f>
        <v>105698</v>
      </c>
      <c r="D15" s="25">
        <f t="shared" ref="D15:L15" si="1">D11+D13</f>
        <v>16360</v>
      </c>
      <c r="E15" s="25">
        <f t="shared" si="1"/>
        <v>36880</v>
      </c>
      <c r="F15" s="25">
        <f t="shared" si="1"/>
        <v>30661</v>
      </c>
      <c r="G15" s="26">
        <f t="shared" si="1"/>
        <v>8600</v>
      </c>
      <c r="H15" s="25">
        <f t="shared" si="1"/>
        <v>1157</v>
      </c>
      <c r="I15" s="25">
        <f t="shared" si="1"/>
        <v>2100</v>
      </c>
      <c r="J15" s="25">
        <f t="shared" si="1"/>
        <v>2980</v>
      </c>
      <c r="K15" s="25">
        <f t="shared" si="1"/>
        <v>4020</v>
      </c>
      <c r="L15" s="26">
        <f t="shared" si="1"/>
        <v>2940</v>
      </c>
    </row>
    <row r="16" spans="1:12" ht="99" thickBot="1" x14ac:dyDescent="0.4">
      <c r="B16" s="24" t="s">
        <v>28</v>
      </c>
      <c r="C16" s="27">
        <v>5785906.7999999998</v>
      </c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56.5" thickBot="1" x14ac:dyDescent="0.4">
      <c r="B17" s="30" t="s">
        <v>29</v>
      </c>
      <c r="C17" s="31">
        <v>5698296</v>
      </c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35">
      <c r="B18" s="64"/>
      <c r="C18" s="65"/>
      <c r="D18" s="28"/>
      <c r="E18" s="28"/>
      <c r="F18" s="28"/>
      <c r="G18" s="28"/>
      <c r="H18" s="28"/>
      <c r="I18" s="28"/>
      <c r="J18" s="28"/>
      <c r="K18" s="28"/>
      <c r="L18" s="28"/>
    </row>
    <row r="19" spans="1:12" x14ac:dyDescent="0.35">
      <c r="B19" s="64"/>
      <c r="C19" s="65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35">
      <c r="A20">
        <v>4</v>
      </c>
      <c r="B20" t="s">
        <v>30</v>
      </c>
    </row>
    <row r="38" spans="1:11" x14ac:dyDescent="0.35">
      <c r="A38">
        <v>5</v>
      </c>
      <c r="B38" t="s">
        <v>31</v>
      </c>
    </row>
    <row r="39" spans="1:11" ht="15" thickBot="1" x14ac:dyDescent="0.4"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1" ht="28.5" thickBot="1" x14ac:dyDescent="0.4">
      <c r="B40" s="32" t="s">
        <v>32</v>
      </c>
      <c r="C40" s="33" t="s">
        <v>33</v>
      </c>
      <c r="D40" s="33" t="s">
        <v>34</v>
      </c>
      <c r="E40" s="34" t="s">
        <v>35</v>
      </c>
      <c r="F40" s="33" t="s">
        <v>36</v>
      </c>
      <c r="G40" s="35" t="s">
        <v>37</v>
      </c>
      <c r="H40" s="36" t="s">
        <v>38</v>
      </c>
      <c r="I40" s="37" t="s">
        <v>39</v>
      </c>
      <c r="J40" s="36" t="s">
        <v>40</v>
      </c>
      <c r="K40" s="38" t="s">
        <v>41</v>
      </c>
    </row>
    <row r="41" spans="1:11" x14ac:dyDescent="0.35">
      <c r="B41" s="39" t="s">
        <v>8</v>
      </c>
      <c r="C41" s="40">
        <v>277</v>
      </c>
      <c r="D41" s="40">
        <v>184</v>
      </c>
      <c r="E41" s="40">
        <v>228</v>
      </c>
      <c r="F41" s="40">
        <v>174.57089398799243</v>
      </c>
      <c r="G41" s="41">
        <v>209</v>
      </c>
      <c r="H41" s="42">
        <v>122</v>
      </c>
      <c r="I41" s="42">
        <v>0</v>
      </c>
      <c r="J41" s="42">
        <v>336</v>
      </c>
      <c r="K41" s="43">
        <v>0</v>
      </c>
    </row>
    <row r="42" spans="1:11" x14ac:dyDescent="0.35">
      <c r="B42" s="44" t="s">
        <v>9</v>
      </c>
      <c r="C42" s="45">
        <v>324</v>
      </c>
      <c r="D42" s="45">
        <v>230</v>
      </c>
      <c r="E42" s="45">
        <v>282</v>
      </c>
      <c r="F42" s="45">
        <v>182.0569253550986</v>
      </c>
      <c r="G42" s="46">
        <v>247</v>
      </c>
      <c r="H42" s="47">
        <v>108</v>
      </c>
      <c r="I42" s="47">
        <v>0</v>
      </c>
      <c r="J42" s="47">
        <v>330</v>
      </c>
      <c r="K42" s="48">
        <v>216</v>
      </c>
    </row>
    <row r="43" spans="1:11" x14ac:dyDescent="0.35">
      <c r="B43" s="49" t="s">
        <v>12</v>
      </c>
      <c r="C43" s="50">
        <v>327</v>
      </c>
      <c r="D43" s="50">
        <v>188</v>
      </c>
      <c r="E43" s="50">
        <v>251</v>
      </c>
      <c r="F43" s="50">
        <v>170.27860248106504</v>
      </c>
      <c r="G43" s="51">
        <v>205</v>
      </c>
      <c r="H43" s="52">
        <v>107</v>
      </c>
      <c r="I43" s="52">
        <v>0</v>
      </c>
      <c r="J43" s="52">
        <v>328</v>
      </c>
      <c r="K43" s="53">
        <v>0</v>
      </c>
    </row>
    <row r="44" spans="1:11" x14ac:dyDescent="0.35">
      <c r="B44" s="44" t="s">
        <v>14</v>
      </c>
      <c r="C44" s="45">
        <v>329</v>
      </c>
      <c r="D44" s="45">
        <v>198</v>
      </c>
      <c r="E44" s="45">
        <v>280</v>
      </c>
      <c r="F44" s="45">
        <v>153.01323679606841</v>
      </c>
      <c r="G44" s="46">
        <v>250</v>
      </c>
      <c r="H44" s="47">
        <v>103</v>
      </c>
      <c r="I44" s="47">
        <v>0</v>
      </c>
      <c r="J44" s="47">
        <v>306</v>
      </c>
      <c r="K44" s="48">
        <v>0</v>
      </c>
    </row>
    <row r="45" spans="1:11" x14ac:dyDescent="0.35">
      <c r="B45" s="49" t="s">
        <v>18</v>
      </c>
      <c r="C45" s="52">
        <v>0</v>
      </c>
      <c r="D45" s="52">
        <v>0</v>
      </c>
      <c r="E45" s="50">
        <v>0</v>
      </c>
      <c r="F45" s="50">
        <v>180.96213808463253</v>
      </c>
      <c r="G45" s="51">
        <v>181</v>
      </c>
      <c r="H45" s="52">
        <v>105</v>
      </c>
      <c r="I45" s="52">
        <v>0</v>
      </c>
      <c r="J45" s="52">
        <v>268</v>
      </c>
      <c r="K45" s="53">
        <v>0</v>
      </c>
    </row>
    <row r="46" spans="1:11" x14ac:dyDescent="0.35">
      <c r="B46" s="44" t="s">
        <v>19</v>
      </c>
      <c r="C46" s="45">
        <v>0</v>
      </c>
      <c r="D46" s="45">
        <v>0</v>
      </c>
      <c r="E46" s="45">
        <v>0</v>
      </c>
      <c r="F46" s="45">
        <v>137.23274843167562</v>
      </c>
      <c r="G46" s="46">
        <v>137</v>
      </c>
      <c r="H46" s="47">
        <v>102</v>
      </c>
      <c r="I46" s="47">
        <v>0</v>
      </c>
      <c r="J46" s="47">
        <v>216</v>
      </c>
      <c r="K46" s="48">
        <v>0</v>
      </c>
    </row>
    <row r="47" spans="1:11" x14ac:dyDescent="0.35">
      <c r="B47" s="49" t="s">
        <v>20</v>
      </c>
      <c r="C47" s="50">
        <v>171</v>
      </c>
      <c r="D47" s="50">
        <v>140</v>
      </c>
      <c r="E47" s="50">
        <v>152</v>
      </c>
      <c r="F47" s="50">
        <v>117.70688006442197</v>
      </c>
      <c r="G47" s="51">
        <v>133</v>
      </c>
      <c r="H47" s="52">
        <v>91</v>
      </c>
      <c r="I47" s="52">
        <v>0</v>
      </c>
      <c r="J47" s="52">
        <v>179</v>
      </c>
      <c r="K47" s="53">
        <v>123</v>
      </c>
    </row>
    <row r="48" spans="1:11" x14ac:dyDescent="0.35">
      <c r="B48" s="44" t="s">
        <v>21</v>
      </c>
      <c r="C48" s="45">
        <v>166</v>
      </c>
      <c r="D48" s="45">
        <v>145</v>
      </c>
      <c r="E48" s="45">
        <v>151</v>
      </c>
      <c r="F48" s="45">
        <v>129.92776639344262</v>
      </c>
      <c r="G48" s="46">
        <v>141</v>
      </c>
      <c r="H48" s="47">
        <v>87</v>
      </c>
      <c r="I48" s="47">
        <v>0</v>
      </c>
      <c r="J48" s="47">
        <v>211</v>
      </c>
      <c r="K48" s="48">
        <v>139</v>
      </c>
    </row>
    <row r="49" spans="1:11" ht="15" thickBot="1" x14ac:dyDescent="0.4">
      <c r="B49" s="54" t="s">
        <v>22</v>
      </c>
      <c r="C49" s="55">
        <v>0</v>
      </c>
      <c r="D49" s="55">
        <v>0</v>
      </c>
      <c r="E49" s="55">
        <v>0</v>
      </c>
      <c r="F49" s="55">
        <v>113.51893234016138</v>
      </c>
      <c r="G49" s="56">
        <v>114</v>
      </c>
      <c r="H49" s="57">
        <v>86</v>
      </c>
      <c r="I49" s="57">
        <v>0</v>
      </c>
      <c r="J49" s="57">
        <v>0</v>
      </c>
      <c r="K49" s="58">
        <v>0</v>
      </c>
    </row>
    <row r="50" spans="1:11" ht="15" thickBot="1" x14ac:dyDescent="0.4">
      <c r="B50" s="59" t="s">
        <v>42</v>
      </c>
      <c r="C50" s="60">
        <v>315.42386891721014</v>
      </c>
      <c r="D50" s="60">
        <v>202.77442877219363</v>
      </c>
      <c r="E50" s="60">
        <v>261.0705737103155</v>
      </c>
      <c r="F50" s="60">
        <v>169.33379328797491</v>
      </c>
      <c r="G50" s="61">
        <v>220.65306136196332</v>
      </c>
      <c r="H50" s="62">
        <v>101.20509549173859</v>
      </c>
      <c r="I50" s="62">
        <v>0</v>
      </c>
      <c r="J50" s="62">
        <v>320.25519947243293</v>
      </c>
      <c r="K50" s="63">
        <v>145.7915918261096</v>
      </c>
    </row>
    <row r="52" spans="1:11" x14ac:dyDescent="0.35">
      <c r="A52">
        <v>6</v>
      </c>
      <c r="B52" t="s">
        <v>43</v>
      </c>
    </row>
    <row r="68" spans="1:8" ht="15" thickBot="1" x14ac:dyDescent="0.4">
      <c r="A68">
        <v>7</v>
      </c>
      <c r="B68" t="s">
        <v>44</v>
      </c>
    </row>
    <row r="69" spans="1:8" ht="29" thickBot="1" x14ac:dyDescent="0.4">
      <c r="B69" s="66" t="s">
        <v>4</v>
      </c>
      <c r="C69" s="67" t="s">
        <v>45</v>
      </c>
      <c r="D69" s="68"/>
      <c r="E69" s="69" t="s">
        <v>46</v>
      </c>
      <c r="F69" s="70"/>
      <c r="G69" s="71" t="s">
        <v>47</v>
      </c>
      <c r="H69" s="72" t="s">
        <v>48</v>
      </c>
    </row>
    <row r="70" spans="1:8" ht="15" thickBot="1" x14ac:dyDescent="0.4">
      <c r="B70" s="73"/>
      <c r="C70" s="74" t="s">
        <v>49</v>
      </c>
      <c r="D70" s="75" t="s">
        <v>50</v>
      </c>
      <c r="E70" s="74" t="s">
        <v>49</v>
      </c>
      <c r="F70" s="75" t="s">
        <v>50</v>
      </c>
      <c r="G70" s="76" t="s">
        <v>50</v>
      </c>
      <c r="H70" s="77" t="s">
        <v>50</v>
      </c>
    </row>
    <row r="71" spans="1:8" x14ac:dyDescent="0.35">
      <c r="B71" s="78" t="s">
        <v>37</v>
      </c>
      <c r="C71" s="79">
        <v>102140</v>
      </c>
      <c r="D71" s="80">
        <v>7090341</v>
      </c>
      <c r="E71" s="79">
        <v>108340</v>
      </c>
      <c r="F71" s="80">
        <v>7583312</v>
      </c>
      <c r="G71" s="81"/>
      <c r="H71" s="82">
        <f>F71-D71</f>
        <v>492971</v>
      </c>
    </row>
    <row r="72" spans="1:8" x14ac:dyDescent="0.35">
      <c r="B72" s="83" t="s">
        <v>38</v>
      </c>
      <c r="C72" s="84">
        <v>16980</v>
      </c>
      <c r="D72" s="85">
        <v>957395</v>
      </c>
      <c r="E72" s="84">
        <v>18900</v>
      </c>
      <c r="F72" s="85">
        <v>1039120</v>
      </c>
      <c r="G72" s="86"/>
      <c r="H72" s="82">
        <f t="shared" ref="H72:H79" si="2">F72-D72</f>
        <v>81725</v>
      </c>
    </row>
    <row r="73" spans="1:8" x14ac:dyDescent="0.35">
      <c r="B73" s="83" t="s">
        <v>40</v>
      </c>
      <c r="C73" s="84">
        <v>7380</v>
      </c>
      <c r="D73" s="85">
        <v>515824</v>
      </c>
      <c r="E73" s="84">
        <v>6680</v>
      </c>
      <c r="F73" s="85">
        <v>463784</v>
      </c>
      <c r="G73" s="86"/>
      <c r="H73" s="82">
        <f t="shared" si="2"/>
        <v>-52040</v>
      </c>
    </row>
    <row r="74" spans="1:8" x14ac:dyDescent="0.35">
      <c r="B74" s="83" t="s">
        <v>41</v>
      </c>
      <c r="C74" s="84">
        <v>1681</v>
      </c>
      <c r="D74" s="85">
        <v>106131</v>
      </c>
      <c r="E74" s="84">
        <v>3560</v>
      </c>
      <c r="F74" s="85">
        <v>227532</v>
      </c>
      <c r="G74" s="86"/>
      <c r="H74" s="82">
        <f t="shared" si="2"/>
        <v>121401</v>
      </c>
    </row>
    <row r="75" spans="1:8" x14ac:dyDescent="0.35">
      <c r="B75" s="83" t="s">
        <v>51</v>
      </c>
      <c r="C75" s="84"/>
      <c r="D75" s="85"/>
      <c r="E75" s="84"/>
      <c r="F75" s="85"/>
      <c r="G75" s="86"/>
      <c r="H75" s="82">
        <f t="shared" si="2"/>
        <v>0</v>
      </c>
    </row>
    <row r="76" spans="1:8" x14ac:dyDescent="0.35">
      <c r="B76" s="83" t="s">
        <v>52</v>
      </c>
      <c r="C76" s="84"/>
      <c r="D76" s="85"/>
      <c r="E76" s="84"/>
      <c r="F76" s="85"/>
      <c r="G76" s="87">
        <v>5133</v>
      </c>
      <c r="H76" s="88">
        <f t="shared" si="2"/>
        <v>0</v>
      </c>
    </row>
    <row r="77" spans="1:8" x14ac:dyDescent="0.35">
      <c r="B77" s="83" t="s">
        <v>53</v>
      </c>
      <c r="C77" s="89"/>
      <c r="D77" s="90"/>
      <c r="E77" s="89"/>
      <c r="F77" s="90"/>
      <c r="G77" s="86"/>
      <c r="H77" s="82">
        <f t="shared" si="2"/>
        <v>0</v>
      </c>
    </row>
    <row r="78" spans="1:8" x14ac:dyDescent="0.35">
      <c r="B78" s="83" t="s">
        <v>54</v>
      </c>
      <c r="C78" s="79"/>
      <c r="D78" s="90"/>
      <c r="E78" s="79"/>
      <c r="F78" s="90"/>
      <c r="G78" s="86"/>
      <c r="H78" s="91">
        <f t="shared" si="2"/>
        <v>0</v>
      </c>
    </row>
    <row r="79" spans="1:8" x14ac:dyDescent="0.35">
      <c r="B79" s="83" t="s">
        <v>55</v>
      </c>
      <c r="C79" s="84"/>
      <c r="D79" s="92"/>
      <c r="E79" s="84"/>
      <c r="F79" s="92"/>
      <c r="G79" s="86"/>
      <c r="H79" s="91">
        <f t="shared" si="2"/>
        <v>0</v>
      </c>
    </row>
    <row r="80" spans="1:8" ht="15" thickBot="1" x14ac:dyDescent="0.4">
      <c r="B80" s="93"/>
      <c r="C80" s="94"/>
      <c r="D80" s="95"/>
      <c r="E80" s="94"/>
      <c r="F80" s="95"/>
      <c r="G80" s="96"/>
      <c r="H80" s="97"/>
    </row>
    <row r="81" spans="1:8" ht="15" thickBot="1" x14ac:dyDescent="0.4">
      <c r="B81" s="98" t="s">
        <v>56</v>
      </c>
      <c r="C81" s="99">
        <f>SUM(C71:C80)</f>
        <v>128181</v>
      </c>
      <c r="D81" s="99">
        <f>SUM(D71:D80)</f>
        <v>8669691</v>
      </c>
      <c r="E81" s="99">
        <f>SUM(E71:E80)</f>
        <v>137480</v>
      </c>
      <c r="F81" s="99">
        <f>SUM(F71:F80)</f>
        <v>9313748</v>
      </c>
      <c r="G81" s="100">
        <f>SUM(G71:G80)</f>
        <v>5133</v>
      </c>
      <c r="H81" s="101">
        <f>F81-D81</f>
        <v>644057</v>
      </c>
    </row>
    <row r="83" spans="1:8" x14ac:dyDescent="0.35">
      <c r="A83">
        <v>8</v>
      </c>
      <c r="B83" s="104" t="s">
        <v>57</v>
      </c>
    </row>
  </sheetData>
  <mergeCells count="3">
    <mergeCell ref="B69:B70"/>
    <mergeCell ref="C69:D69"/>
    <mergeCell ref="E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 Muthomi</dc:creator>
  <cp:lastModifiedBy>Morris Muthomi</cp:lastModifiedBy>
  <dcterms:created xsi:type="dcterms:W3CDTF">2025-10-17T10:09:07Z</dcterms:created>
  <dcterms:modified xsi:type="dcterms:W3CDTF">2025-10-17T10:41:14Z</dcterms:modified>
</cp:coreProperties>
</file>